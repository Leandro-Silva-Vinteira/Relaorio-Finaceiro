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ro Vinteira\OneDrive\Documentos\Análise de Dados\Excel\"/>
    </mc:Choice>
  </mc:AlternateContent>
  <xr:revisionPtr revIDLastSave="0" documentId="8_{B6427F36-BE05-4DC0-A928-2341FBF33D1B}" xr6:coauthVersionLast="47" xr6:coauthVersionMax="47" xr10:uidLastSave="{00000000-0000-0000-0000-000000000000}"/>
  <bookViews>
    <workbookView xWindow="-120" yWindow="-120" windowWidth="20730" windowHeight="111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<sst xmlns="http://schemas.openxmlformats.org/spreadsheetml/2006/main" count="72" uniqueCount="35">
  <si>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</si>
  <si>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</si>
  <si>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</si>
  <si>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</si>
  <si>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</si>
  <si>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</si>
  <si>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</si>
  <si>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</si>
  <si>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</si>
  <si>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</si>
  <si>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</si>
  <si>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</si>
  <si>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</si>
  <si>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</si>
  <si>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</si>
  <si>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</si>
  <si>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</si>
  <si>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</si>
  <si>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</si>
  <si>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</si>
  <si>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</si>
  <si>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</si>
  <si>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</si>
  <si>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</si>
  <si>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</si>
  <si>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</si>
  <si>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</si>
  <si>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</si>
  <si>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</si>
  <si>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</si>
  <si>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</si>
  <si>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</si>
  <si>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</si>
  <si>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</si>
  <si>
    <t>Leo Invest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</si>
</sst>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60"/>
      <color theme="1"/>
      <name val="Aptos Black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9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0" fillId="0" borderId="0" xfId="0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0B-4658-B5E7-D5E7C6641F2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40B-4658-B5E7-D5E7C6641F2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40B-4658-B5E7-D5E7C6641F2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40B-4658-B5E7-D5E7C6641F2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40B-4658-B5E7-D5E7C6641F2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40B-4658-B5E7-D5E7C6641F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2:H57"/>
  <sheetViews>
    <sheetView showGridLines="0" tabSelected="1" zoomScale="110" zoomScaleNormal="110" workbookViewId="0">
      <selection activeCell="B2" sqref="B2:D7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2" spans="2:7" x14ac:dyDescent="0.25">
      <c r="B2" s="57" t="s">
        <v>34</v>
      </c>
      <c r="C2" s="58"/>
      <c r="D2" s="58"/>
    </row>
    <row r="3" spans="2:7" x14ac:dyDescent="0.25">
      <c r="B3" s="58"/>
      <c r="C3" s="58"/>
      <c r="D3" s="58"/>
    </row>
    <row r="4" spans="2:7" x14ac:dyDescent="0.25">
      <c r="B4" s="58"/>
      <c r="C4" s="58"/>
      <c r="D4" s="58"/>
      <c r="G4" s="56"/>
    </row>
    <row r="5" spans="2:7" x14ac:dyDescent="0.25">
      <c r="B5" s="58"/>
      <c r="C5" s="58"/>
      <c r="D5" s="58"/>
    </row>
    <row r="6" spans="2:7" x14ac:dyDescent="0.25">
      <c r="B6" s="58"/>
      <c r="C6" s="58"/>
      <c r="D6" s="58"/>
    </row>
    <row r="7" spans="2:7" x14ac:dyDescent="0.25">
      <c r="B7" s="58"/>
      <c r="C7" s="58"/>
      <c r="D7" s="58"/>
    </row>
    <row r="10" spans="2:7" ht="15.75" thickBot="1" x14ac:dyDescent="0.3"/>
    <row r="11" spans="2:7" ht="26.25" x14ac:dyDescent="0.3">
      <c r="B11" s="5" t="s">
        <v>15</v>
      </c>
      <c r="C11" s="6"/>
      <c r="D11" s="7"/>
    </row>
    <row r="12" spans="2:7" ht="17.25" x14ac:dyDescent="0.3">
      <c r="B12" s="43" t="s">
        <v>14</v>
      </c>
      <c r="C12" s="44"/>
      <c r="D12" s="23">
        <v>2000</v>
      </c>
    </row>
    <row r="13" spans="2:7" ht="17.25" x14ac:dyDescent="0.3">
      <c r="B13" s="45" t="s">
        <v>13</v>
      </c>
      <c r="C13" s="46"/>
      <c r="D13" s="24">
        <v>6.0000000000000001E-3</v>
      </c>
    </row>
    <row r="14" spans="2:7" ht="18" thickBot="1" x14ac:dyDescent="0.35">
      <c r="B14" s="52" t="s">
        <v>33</v>
      </c>
      <c r="C14" s="53"/>
      <c r="D14" s="25">
        <f>D12*30%</f>
        <v>600</v>
      </c>
    </row>
    <row r="15" spans="2:7" ht="15.75" thickBot="1" x14ac:dyDescent="0.3"/>
    <row r="16" spans="2:7" ht="28.5" customHeight="1" x14ac:dyDescent="0.25">
      <c r="B16" s="49" t="s">
        <v>5</v>
      </c>
      <c r="C16" s="50"/>
      <c r="D16" s="51"/>
    </row>
    <row r="17" spans="1:6" ht="17.25" x14ac:dyDescent="0.3">
      <c r="B17" s="43" t="s">
        <v>0</v>
      </c>
      <c r="C17" s="44"/>
      <c r="D17" s="18">
        <v>200</v>
      </c>
    </row>
    <row r="18" spans="1:6" ht="17.25" x14ac:dyDescent="0.3">
      <c r="B18" s="45" t="s">
        <v>1</v>
      </c>
      <c r="C18" s="46"/>
      <c r="D18" s="19">
        <v>5</v>
      </c>
    </row>
    <row r="19" spans="1:6" ht="17.25" x14ac:dyDescent="0.3">
      <c r="B19" s="45" t="s">
        <v>2</v>
      </c>
      <c r="C19" s="46"/>
      <c r="D19" s="20">
        <v>1.0789999999999999E-2</v>
      </c>
    </row>
    <row r="20" spans="1:6" ht="17.25" x14ac:dyDescent="0.3">
      <c r="B20" s="54" t="s">
        <v>3</v>
      </c>
      <c r="C20" s="55"/>
      <c r="D20" s="21">
        <f>FV(taxa_mensal,qtd_anos*12,aporte*-1)</f>
        <v>16755.382799697527</v>
      </c>
    </row>
    <row r="21" spans="1:6" ht="18" thickBot="1" x14ac:dyDescent="0.35">
      <c r="B21" s="47" t="s">
        <v>4</v>
      </c>
      <c r="C21" s="48"/>
      <c r="D21" s="22">
        <f>patrimonio*rendimento_carteira</f>
        <v>100.53229679818516</v>
      </c>
      <c r="F21" s="3"/>
    </row>
    <row r="22" spans="1:6" ht="15.75" thickBot="1" x14ac:dyDescent="0.3"/>
    <row r="23" spans="1:6" ht="30.75" x14ac:dyDescent="0.25">
      <c r="B23" s="49" t="s">
        <v>11</v>
      </c>
      <c r="C23" s="50"/>
      <c r="D23" s="8" t="s">
        <v>12</v>
      </c>
    </row>
    <row r="24" spans="1:6" ht="17.25" x14ac:dyDescent="0.3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25" x14ac:dyDescent="0.3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25" x14ac:dyDescent="0.3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25" x14ac:dyDescent="0.3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 x14ac:dyDescent="0.35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 x14ac:dyDescent="0.25">
      <c r="B32" s="26" t="s">
        <v>20</v>
      </c>
      <c r="C32" s="27" t="s">
        <v>17</v>
      </c>
      <c r="D32" s="26"/>
    </row>
    <row r="33" spans="2:4" x14ac:dyDescent="0.25">
      <c r="B33" s="28" t="s">
        <v>19</v>
      </c>
      <c r="C33" s="29">
        <f>aporte</f>
        <v>200</v>
      </c>
      <c r="D33" s="28"/>
    </row>
    <row r="35" spans="2:4" x14ac:dyDescent="0.25">
      <c r="B35" s="30" t="s">
        <v>21</v>
      </c>
      <c r="C35" s="30" t="s">
        <v>22</v>
      </c>
      <c r="D35" s="30" t="s">
        <v>23</v>
      </c>
    </row>
    <row r="36" spans="2:4" x14ac:dyDescent="0.25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 x14ac:dyDescent="0.25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 x14ac:dyDescent="0.25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 x14ac:dyDescent="0.25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 x14ac:dyDescent="0.25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 x14ac:dyDescent="0.25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 x14ac:dyDescent="0.25">
      <c r="B42" s="31"/>
      <c r="C42" s="31"/>
      <c r="D42" s="32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1">
    <mergeCell ref="B2:D7"/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41" t="s">
        <v>31</v>
      </c>
      <c r="B2" s="41" t="s">
        <v>20</v>
      </c>
      <c r="C2" s="42" t="s">
        <v>21</v>
      </c>
      <c r="D2" s="42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Leandro silva vinteira</cp:lastModifiedBy>
  <dcterms:created xsi:type="dcterms:W3CDTF">2025-04-16T18:38:03Z</dcterms:created>
  <dcterms:modified xsi:type="dcterms:W3CDTF">2025-10-27T21:33:11Z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